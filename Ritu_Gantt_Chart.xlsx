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CODES\PROJECT-RITU WEB APP\"/>
    </mc:Choice>
  </mc:AlternateContent>
  <xr:revisionPtr revIDLastSave="0" documentId="13_ncr:1_{A1B30701-2C57-4C72-9E8C-A48489152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Schedule" sheetId="11" r:id="rId1"/>
  </sheets>
  <definedNames>
    <definedName name="_xlnm.Print_Area" localSheetId="0">ProjectSchedule!$1:$42</definedName>
    <definedName name="_xlnm.Print_Titles" localSheetId="0">ProjectSchedule!$6:$8</definedName>
    <definedName name="task_end" localSheetId="0">ProjectSchedule!$F1</definedName>
    <definedName name="task_progress" localSheetId="0">ProjectSchedule!$D1</definedName>
    <definedName name="task_start" localSheetId="0">ProjectSchedule!$E1</definedName>
    <definedName name="today" localSheetId="0">ProjectSchedule!$E$5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1" l="1"/>
  <c r="H40" i="11" l="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I7" i="11" l="1"/>
  <c r="I8" i="11" l="1"/>
  <c r="J7" i="11" l="1"/>
  <c r="K7" i="11" s="1"/>
  <c r="L7" i="11" s="1"/>
  <c r="M7" i="11" s="1"/>
  <c r="N7" i="11" s="1"/>
  <c r="O7" i="11" s="1"/>
  <c r="P7" i="11" s="1"/>
  <c r="I6" i="11"/>
  <c r="P6" i="11" l="1"/>
  <c r="Q7" i="11"/>
  <c r="R7" i="11" s="1"/>
  <c r="S7" i="11" s="1"/>
  <c r="T7" i="11" s="1"/>
  <c r="U7" i="11" s="1"/>
  <c r="V7" i="11" s="1"/>
  <c r="W7" i="11" s="1"/>
  <c r="J8" i="11"/>
  <c r="W6" i="11" l="1"/>
  <c r="X7" i="11"/>
  <c r="Y7" i="11" s="1"/>
  <c r="Z7" i="11" s="1"/>
  <c r="AA7" i="11" s="1"/>
  <c r="AB7" i="11" s="1"/>
  <c r="AC7" i="11" s="1"/>
  <c r="AD7" i="11" s="1"/>
  <c r="K8" i="11"/>
  <c r="AE7" i="11" l="1"/>
  <c r="AF7" i="11" s="1"/>
  <c r="AG7" i="11" s="1"/>
  <c r="AH7" i="11" s="1"/>
  <c r="AI7" i="11" s="1"/>
  <c r="AJ7" i="11" s="1"/>
  <c r="AD6" i="11"/>
  <c r="L8" i="11"/>
  <c r="AK7" i="11" l="1"/>
  <c r="AL7" i="11" s="1"/>
  <c r="AM7" i="11" s="1"/>
  <c r="AN7" i="11" s="1"/>
  <c r="AO7" i="11" s="1"/>
  <c r="AP7" i="11" s="1"/>
  <c r="AQ7" i="11" s="1"/>
  <c r="M8" i="11"/>
  <c r="AR7" i="11" l="1"/>
  <c r="AS7" i="11" s="1"/>
  <c r="AK6" i="11"/>
  <c r="N8" i="11"/>
  <c r="AT7" i="11" l="1"/>
  <c r="AS8" i="11"/>
  <c r="AR6" i="11"/>
  <c r="O8" i="11"/>
  <c r="AU7" i="11" l="1"/>
  <c r="AT8" i="11"/>
  <c r="AV7" i="11" l="1"/>
  <c r="AU8" i="11"/>
  <c r="P8" i="11"/>
  <c r="Q8" i="11"/>
  <c r="AW7" i="11" l="1"/>
  <c r="AV8" i="11"/>
  <c r="R8" i="11"/>
  <c r="AX7" i="11" l="1"/>
  <c r="AY7" i="11" s="1"/>
  <c r="AW8" i="11"/>
  <c r="S8" i="11"/>
  <c r="AY8" i="11" l="1"/>
  <c r="AZ7" i="11"/>
  <c r="AY6" i="11"/>
  <c r="AX8" i="11"/>
  <c r="T8" i="11"/>
  <c r="BA7" i="11" l="1"/>
  <c r="AZ8" i="11"/>
  <c r="U8" i="11"/>
  <c r="BA8" i="11" l="1"/>
  <c r="BB7" i="11"/>
  <c r="V8" i="11"/>
  <c r="BB8" i="11" l="1"/>
  <c r="BC7" i="11"/>
  <c r="W8" i="11"/>
  <c r="BC8" i="11" l="1"/>
  <c r="BD7" i="11"/>
  <c r="X8" i="11"/>
  <c r="BE7" i="11" l="1"/>
  <c r="BD8" i="11"/>
  <c r="Y8" i="11"/>
  <c r="BE8" i="11" l="1"/>
  <c r="BF7" i="11"/>
  <c r="Z8" i="11"/>
  <c r="BF8" i="11" l="1"/>
  <c r="BG7" i="11"/>
  <c r="BF6" i="11"/>
  <c r="AA8" i="11"/>
  <c r="BG8" i="11" l="1"/>
  <c r="BH7" i="11"/>
  <c r="AB8" i="11"/>
  <c r="BI7" i="11" l="1"/>
  <c r="BH8" i="11"/>
  <c r="AC8" i="11"/>
  <c r="BJ7" i="11" l="1"/>
  <c r="BI8" i="11"/>
  <c r="AD8" i="11"/>
  <c r="BK7" i="11" l="1"/>
  <c r="BJ8" i="11"/>
  <c r="AE8" i="11"/>
  <c r="BL7" i="11" l="1"/>
  <c r="BK8" i="11"/>
  <c r="AF8" i="11"/>
  <c r="BL8" i="11" l="1"/>
  <c r="AG8" i="11"/>
  <c r="AH8" i="11" l="1"/>
  <c r="AI8" i="11" l="1"/>
  <c r="AJ8" i="11" l="1"/>
  <c r="AK8" i="11" l="1"/>
  <c r="AL8" i="11" l="1"/>
  <c r="AM8" i="11" l="1"/>
  <c r="AN8" i="11" l="1"/>
  <c r="AO8" i="11" l="1"/>
  <c r="AP8" i="11" l="1"/>
  <c r="AQ8" i="11" l="1"/>
  <c r="AR8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Vertex42.com Templates</author>
  </authors>
  <commentList>
    <comment ref="H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DAYS:</t>
        </r>
        <r>
          <rPr>
            <sz val="9"/>
            <color indexed="81"/>
            <rFont val="Tahoma"/>
            <family val="2"/>
          </rPr>
          <t xml:space="preserve">
This column calculates the duration of the task in calendar days. The duration includes both the Start and End dates.</t>
        </r>
      </text>
    </comment>
  </commentList>
</comments>
</file>

<file path=xl/sharedStrings.xml><?xml version="1.0" encoding="utf-8"?>
<sst xmlns="http://schemas.openxmlformats.org/spreadsheetml/2006/main" count="44" uniqueCount="27">
  <si>
    <t>Task 3</t>
  </si>
  <si>
    <t>Task 4</t>
  </si>
  <si>
    <t>Task 5</t>
  </si>
  <si>
    <t>Task 1</t>
  </si>
  <si>
    <t>Task 2</t>
  </si>
  <si>
    <t>Project Start:</t>
  </si>
  <si>
    <t>ASSIGNED
TO</t>
  </si>
  <si>
    <t>DAYS</t>
  </si>
  <si>
    <t>Display Week:</t>
  </si>
  <si>
    <t>Phase 3 Title</t>
  </si>
  <si>
    <t>Phase 4 Title</t>
  </si>
  <si>
    <t>Phase 5 Title</t>
  </si>
  <si>
    <t>Today:</t>
  </si>
  <si>
    <t>RITU WEB APP</t>
  </si>
  <si>
    <t>CSE-311L PROJECT</t>
  </si>
  <si>
    <t>BASIC DESIGN AND LEARNING</t>
  </si>
  <si>
    <t>LEARNING OF HTML CSS</t>
  </si>
  <si>
    <t>All Group Members</t>
  </si>
  <si>
    <t>DJANGO-BASIC APPlICATION LAUNCHING AND LEARNING</t>
  </si>
  <si>
    <t>TASK PROGRESS</t>
  </si>
  <si>
    <t>START DATE</t>
  </si>
  <si>
    <t>END DATE</t>
  </si>
  <si>
    <t>TASK NAME AND DESCRIPTION</t>
  </si>
  <si>
    <t>CONNECTION BETWEEN WEBPAGES VIA DJANGO AS BACKEND</t>
  </si>
  <si>
    <t>BASIC FRONTEND SKELETON DESIGN</t>
  </si>
  <si>
    <t>DATABASE DESIGN AND SETUP</t>
  </si>
  <si>
    <t xml:space="preserve">    Members: Farhan Ishrak Tahmid - 2031458642, Md Zaed Iqbal Khan - o18324, Absara Chowdhury - 9138274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</si>
</sst>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;@"/>
    <numFmt numFmtId="165" formatCode="ddd\,\ m/d/yyyy"/>
    <numFmt numFmtId="166" formatCode="mmm\ d\,\ yyyy"/>
    <numFmt numFmtId="167" formatCode="d"/>
    <numFmt numFmtId="168" formatCode="mm/dd/yy;@"/>
  </numFmts>
  <fonts count="29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 tint="0.499984740745262"/>
      <name val="Arial"/>
      <family val="2"/>
    </font>
    <font>
      <b/>
      <sz val="11"/>
      <color theme="0"/>
      <name val="Calibri"/>
      <family val="2"/>
      <scheme val="minor"/>
    </font>
    <font>
      <b/>
      <sz val="18"/>
      <color theme="1" tint="0.34998626667073579"/>
      <name val="Calibri"/>
      <family val="2"/>
      <scheme val="major"/>
    </font>
    <font>
      <b/>
      <sz val="20"/>
      <color theme="1" tint="0.34998626667073579"/>
      <name val="Calibri"/>
      <family val="2"/>
      <scheme val="major"/>
    </font>
    <font>
      <b/>
      <sz val="36"/>
      <color theme="1" tint="0.34998626667073579"/>
      <name val="Calibri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/>
      </patternFill>
    </fill>
    <fill>
      <patternFill patternType="solid">
        <fgColor rgb="FFE3EC6E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3" xfId="0" applyNumberForma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1" applyFont="1" applyAlignment="1" applyProtection="1"/>
    <xf numFmtId="0" fontId="15" fillId="0" borderId="0" xfId="0" applyFont="1" applyAlignment="1">
      <alignment horizontal="right" vertical="center"/>
    </xf>
    <xf numFmtId="0" fontId="0" fillId="0" borderId="2" xfId="0" applyFont="1" applyFill="1" applyBorder="1" applyAlignment="1">
      <alignment horizontal="center" vertical="center"/>
    </xf>
    <xf numFmtId="9" fontId="3" fillId="0" borderId="2" xfId="2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9" fontId="3" fillId="8" borderId="2" xfId="2" applyFont="1" applyFill="1" applyBorder="1" applyAlignment="1">
      <alignment horizontal="center" vertical="center"/>
    </xf>
    <xf numFmtId="9" fontId="3" fillId="3" borderId="2" xfId="2" applyFont="1" applyFill="1" applyBorder="1" applyAlignment="1">
      <alignment horizontal="center" vertical="center"/>
    </xf>
    <xf numFmtId="9" fontId="3" fillId="5" borderId="2" xfId="2" applyFont="1" applyFill="1" applyBorder="1" applyAlignment="1">
      <alignment horizontal="center" vertical="center"/>
    </xf>
    <xf numFmtId="9" fontId="3" fillId="11" borderId="2" xfId="2" applyFont="1" applyFill="1" applyBorder="1" applyAlignment="1">
      <alignment horizontal="center" vertical="center"/>
    </xf>
    <xf numFmtId="9" fontId="3" fillId="4" borderId="2" xfId="2" applyFont="1" applyFill="1" applyBorder="1" applyAlignment="1">
      <alignment horizontal="center" vertical="center"/>
    </xf>
    <xf numFmtId="9" fontId="3" fillId="9" borderId="2" xfId="2" applyFont="1" applyFill="1" applyBorder="1" applyAlignment="1">
      <alignment horizontal="center" vertical="center"/>
    </xf>
    <xf numFmtId="9" fontId="3" fillId="6" borderId="2" xfId="2" applyFont="1" applyFill="1" applyBorder="1" applyAlignment="1">
      <alignment horizontal="center" vertical="center"/>
    </xf>
    <xf numFmtId="9" fontId="3" fillId="10" borderId="2" xfId="2" applyFont="1" applyFill="1" applyBorder="1" applyAlignment="1">
      <alignment horizontal="center" vertical="center"/>
    </xf>
    <xf numFmtId="9" fontId="3" fillId="2" borderId="2" xfId="2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2" borderId="11" xfId="0" applyFill="1" applyBorder="1" applyAlignment="1">
      <alignment vertical="center"/>
    </xf>
    <xf numFmtId="14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top"/>
    </xf>
    <xf numFmtId="0" fontId="22" fillId="0" borderId="0" xfId="0" applyFont="1" applyAlignment="1">
      <alignment horizontal="right" vertical="center"/>
    </xf>
    <xf numFmtId="168" fontId="0" fillId="0" borderId="2" xfId="0" applyNumberFormat="1" applyFont="1" applyFill="1" applyBorder="1" applyAlignment="1">
      <alignment horizontal="center" vertical="center"/>
    </xf>
    <xf numFmtId="168" fontId="3" fillId="0" borderId="2" xfId="0" applyNumberFormat="1" applyFont="1" applyFill="1" applyBorder="1" applyAlignment="1">
      <alignment horizontal="center" vertical="center"/>
    </xf>
    <xf numFmtId="168" fontId="0" fillId="8" borderId="2" xfId="0" applyNumberFormat="1" applyFont="1" applyFill="1" applyBorder="1" applyAlignment="1">
      <alignment horizontal="center" vertical="center"/>
    </xf>
    <xf numFmtId="168" fontId="3" fillId="8" borderId="2" xfId="0" applyNumberFormat="1" applyFont="1" applyFill="1" applyBorder="1" applyAlignment="1">
      <alignment horizontal="center" vertical="center"/>
    </xf>
    <xf numFmtId="168" fontId="0" fillId="3" borderId="2" xfId="0" applyNumberFormat="1" applyFont="1" applyFill="1" applyBorder="1" applyAlignment="1">
      <alignment horizontal="center" vertical="center"/>
    </xf>
    <xf numFmtId="168" fontId="3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11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9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10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7" fillId="0" borderId="0" xfId="1" applyFont="1" applyAlignment="1" applyProtection="1">
      <alignment wrapText="1"/>
    </xf>
    <xf numFmtId="0" fontId="17" fillId="0" borderId="0" xfId="0" applyFont="1" applyAlignment="1">
      <alignment wrapText="1"/>
    </xf>
    <xf numFmtId="0" fontId="0" fillId="0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9" fontId="3" fillId="14" borderId="2" xfId="2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 wrapText="1"/>
    </xf>
    <xf numFmtId="0" fontId="0" fillId="14" borderId="2" xfId="0" applyFont="1" applyFill="1" applyBorder="1" applyAlignment="1">
      <alignment horizontal="center" vertical="center" wrapText="1"/>
    </xf>
    <xf numFmtId="168" fontId="0" fillId="14" borderId="2" xfId="0" applyNumberFormat="1" applyFont="1" applyFill="1" applyBorder="1" applyAlignment="1">
      <alignment horizontal="center" vertical="center"/>
    </xf>
    <xf numFmtId="168" fontId="3" fillId="14" borderId="2" xfId="0" applyNumberFormat="1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left" vertical="center"/>
    </xf>
    <xf numFmtId="0" fontId="24" fillId="14" borderId="2" xfId="0" applyFont="1" applyFill="1" applyBorder="1" applyAlignment="1">
      <alignment horizontal="left" vertical="center"/>
    </xf>
    <xf numFmtId="0" fontId="18" fillId="13" borderId="1" xfId="0" applyFont="1" applyFill="1" applyBorder="1" applyAlignment="1">
      <alignment horizontal="left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26" fillId="0" borderId="0" xfId="0" applyFont="1"/>
    <xf numFmtId="0" fontId="27" fillId="12" borderId="10" xfId="0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26" fillId="0" borderId="11" xfId="0" applyFont="1" applyBorder="1" applyAlignment="1">
      <alignment horizontal="right" vertical="center"/>
    </xf>
    <xf numFmtId="167" fontId="28" fillId="7" borderId="8" xfId="0" applyNumberFormat="1" applyFont="1" applyFill="1" applyBorder="1" applyAlignment="1">
      <alignment horizontal="center" vertical="center"/>
    </xf>
    <xf numFmtId="167" fontId="28" fillId="7" borderId="0" xfId="0" applyNumberFormat="1" applyFont="1" applyFill="1" applyBorder="1" applyAlignment="1">
      <alignment horizontal="center" vertical="center"/>
    </xf>
    <xf numFmtId="167" fontId="28" fillId="7" borderId="9" xfId="0" applyNumberFormat="1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6" fontId="23" fillId="7" borderId="6" xfId="0" applyNumberFormat="1" applyFont="1" applyFill="1" applyBorder="1" applyAlignment="1">
      <alignment horizontal="left" vertical="center" wrapText="1" indent="1"/>
    </xf>
    <xf numFmtId="166" fontId="23" fillId="7" borderId="1" xfId="0" applyNumberFormat="1" applyFont="1" applyFill="1" applyBorder="1" applyAlignment="1">
      <alignment horizontal="left" vertical="center" wrapText="1" indent="1"/>
    </xf>
    <xf numFmtId="166" fontId="23" fillId="7" borderId="7" xfId="0" applyNumberFormat="1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</cellXfs>
  <cellStyles count="3">
    <cellStyle name="Hyperlink" xfId="1" builtinId="8" customBuiltin="1"/>
    <cellStyle name="Normal" xfId="0" builtinId="0"/>
    <cellStyle name="Percent" xfId="2" builtinId="5"/>
  </cellStyles>
  <dxfs count="12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7C3874"/>
        </patternFill>
      </fill>
      <border>
        <left/>
        <right/>
      </border>
    </dxf>
    <dxf>
      <fill>
        <patternFill>
          <bgColor rgb="FFBC7676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E3EC6E"/>
      <color rgb="FFE6EC94"/>
      <color rgb="FFEFF34F"/>
      <color rgb="FFD1E959"/>
      <color rgb="FFE0EAA4"/>
      <color rgb="FF35B18B"/>
      <color rgb="FF2C9867"/>
      <color rgb="FFBC7676"/>
      <color rgb="FF7C3874"/>
      <color rgb="FF2158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L46"/>
  <sheetViews>
    <sheetView showGridLines="0" tabSelected="1" showRuler="0" zoomScaleNormal="100" zoomScalePageLayoutView="70" workbookViewId="0">
      <pane ySplit="8" topLeftCell="A9" activePane="bottomLeft" state="frozen"/>
      <selection pane="bottomLeft" activeCell="A2" sqref="A2:BL2"/>
    </sheetView>
  </sheetViews>
  <sheetFormatPr defaultRowHeight="15" x14ac:dyDescent="0.25"/>
  <cols>
    <col min="1" max="1" width="2.7109375" customWidth="1"/>
    <col min="2" max="2" width="19.85546875" style="39" customWidth="1"/>
    <col min="3" max="3" width="9.140625" customWidth="1"/>
    <col min="4" max="4" width="10.7109375" customWidth="1"/>
    <col min="5" max="5" width="10.42578125" style="2" customWidth="1"/>
    <col min="6" max="6" width="10.42578125" customWidth="1"/>
    <col min="7" max="7" width="2.5703125" customWidth="1"/>
    <col min="8" max="8" width="6.140625" hidden="1" customWidth="1"/>
    <col min="9" max="64" width="3.140625" customWidth="1"/>
    <col min="69" max="70" width="10.28515625"/>
  </cols>
  <sheetData>
    <row r="1" spans="1:64" ht="45" customHeight="1" x14ac:dyDescent="0.7">
      <c r="A1" s="86" t="s">
        <v>13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</row>
    <row r="2" spans="1:64" ht="26.25" customHeight="1" x14ac:dyDescent="0.45">
      <c r="A2" s="89" t="s">
        <v>14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</row>
    <row r="3" spans="1:64" s="30" customFormat="1" ht="38.25" customHeight="1" x14ac:dyDescent="0.25">
      <c r="A3" s="88" t="s">
        <v>26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</row>
    <row r="4" spans="1:64" ht="18.75" x14ac:dyDescent="0.3">
      <c r="B4" s="38"/>
      <c r="D4" s="31" t="s">
        <v>5</v>
      </c>
      <c r="E4" s="81">
        <v>44743</v>
      </c>
      <c r="F4" s="82"/>
    </row>
    <row r="5" spans="1:64" ht="19.5" customHeight="1" x14ac:dyDescent="0.3">
      <c r="B5" s="38"/>
      <c r="D5" s="3" t="s">
        <v>12</v>
      </c>
      <c r="E5" s="81">
        <f ca="1">TODAY()</f>
        <v>44741</v>
      </c>
      <c r="F5" s="82"/>
    </row>
    <row r="6" spans="1:64" ht="19.5" customHeight="1" x14ac:dyDescent="0.25">
      <c r="D6" s="31" t="s">
        <v>8</v>
      </c>
      <c r="E6" s="4">
        <v>1</v>
      </c>
      <c r="H6" s="73"/>
      <c r="I6" s="83">
        <f>I7</f>
        <v>44739</v>
      </c>
      <c r="J6" s="84"/>
      <c r="K6" s="84"/>
      <c r="L6" s="84"/>
      <c r="M6" s="84"/>
      <c r="N6" s="84"/>
      <c r="O6" s="85"/>
      <c r="P6" s="83">
        <f>P7</f>
        <v>44746</v>
      </c>
      <c r="Q6" s="84"/>
      <c r="R6" s="84"/>
      <c r="S6" s="84"/>
      <c r="T6" s="84"/>
      <c r="U6" s="84"/>
      <c r="V6" s="85"/>
      <c r="W6" s="83">
        <f>W7</f>
        <v>44753</v>
      </c>
      <c r="X6" s="84"/>
      <c r="Y6" s="84"/>
      <c r="Z6" s="84"/>
      <c r="AA6" s="84"/>
      <c r="AB6" s="84"/>
      <c r="AC6" s="85"/>
      <c r="AD6" s="83">
        <f>AD7</f>
        <v>44760</v>
      </c>
      <c r="AE6" s="84"/>
      <c r="AF6" s="84"/>
      <c r="AG6" s="84"/>
      <c r="AH6" s="84"/>
      <c r="AI6" s="84"/>
      <c r="AJ6" s="85"/>
      <c r="AK6" s="83">
        <f>AK7</f>
        <v>44767</v>
      </c>
      <c r="AL6" s="84"/>
      <c r="AM6" s="84"/>
      <c r="AN6" s="84"/>
      <c r="AO6" s="84"/>
      <c r="AP6" s="84"/>
      <c r="AQ6" s="85"/>
      <c r="AR6" s="83">
        <f>AR7</f>
        <v>44774</v>
      </c>
      <c r="AS6" s="84"/>
      <c r="AT6" s="84"/>
      <c r="AU6" s="84"/>
      <c r="AV6" s="84"/>
      <c r="AW6" s="84"/>
      <c r="AX6" s="85"/>
      <c r="AY6" s="83">
        <f>AY7</f>
        <v>44781</v>
      </c>
      <c r="AZ6" s="84"/>
      <c r="BA6" s="84"/>
      <c r="BB6" s="84"/>
      <c r="BC6" s="84"/>
      <c r="BD6" s="84"/>
      <c r="BE6" s="85"/>
      <c r="BF6" s="83">
        <f>BF7</f>
        <v>44788</v>
      </c>
      <c r="BG6" s="84"/>
      <c r="BH6" s="84"/>
      <c r="BI6" s="84"/>
      <c r="BJ6" s="84"/>
      <c r="BK6" s="84"/>
      <c r="BL6" s="85"/>
    </row>
    <row r="7" spans="1:64" ht="15.75" x14ac:dyDescent="0.25">
      <c r="A7" s="3"/>
      <c r="G7" s="3"/>
      <c r="H7" s="73"/>
      <c r="I7" s="78">
        <f>E4-WEEKDAY(E4,1)+2+7*(E6-1)</f>
        <v>44739</v>
      </c>
      <c r="J7" s="79">
        <f>I7+1</f>
        <v>44740</v>
      </c>
      <c r="K7" s="79">
        <f t="shared" ref="K7:AX7" si="0">J7+1</f>
        <v>44741</v>
      </c>
      <c r="L7" s="79">
        <f t="shared" si="0"/>
        <v>44742</v>
      </c>
      <c r="M7" s="79">
        <f t="shared" si="0"/>
        <v>44743</v>
      </c>
      <c r="N7" s="79">
        <f t="shared" si="0"/>
        <v>44744</v>
      </c>
      <c r="O7" s="80">
        <f t="shared" si="0"/>
        <v>44745</v>
      </c>
      <c r="P7" s="78">
        <f>O7+1</f>
        <v>44746</v>
      </c>
      <c r="Q7" s="79">
        <f>P7+1</f>
        <v>44747</v>
      </c>
      <c r="R7" s="79">
        <f t="shared" si="0"/>
        <v>44748</v>
      </c>
      <c r="S7" s="79">
        <f t="shared" si="0"/>
        <v>44749</v>
      </c>
      <c r="T7" s="79">
        <f t="shared" si="0"/>
        <v>44750</v>
      </c>
      <c r="U7" s="79">
        <f t="shared" si="0"/>
        <v>44751</v>
      </c>
      <c r="V7" s="80">
        <f t="shared" si="0"/>
        <v>44752</v>
      </c>
      <c r="W7" s="78">
        <f>V7+1</f>
        <v>44753</v>
      </c>
      <c r="X7" s="79">
        <f>W7+1</f>
        <v>44754</v>
      </c>
      <c r="Y7" s="79">
        <f t="shared" si="0"/>
        <v>44755</v>
      </c>
      <c r="Z7" s="79">
        <f t="shared" si="0"/>
        <v>44756</v>
      </c>
      <c r="AA7" s="79">
        <f t="shared" si="0"/>
        <v>44757</v>
      </c>
      <c r="AB7" s="79">
        <f t="shared" si="0"/>
        <v>44758</v>
      </c>
      <c r="AC7" s="80">
        <f t="shared" si="0"/>
        <v>44759</v>
      </c>
      <c r="AD7" s="78">
        <f>AC7+1</f>
        <v>44760</v>
      </c>
      <c r="AE7" s="79">
        <f>AD7+1</f>
        <v>44761</v>
      </c>
      <c r="AF7" s="79">
        <f t="shared" si="0"/>
        <v>44762</v>
      </c>
      <c r="AG7" s="79">
        <f t="shared" si="0"/>
        <v>44763</v>
      </c>
      <c r="AH7" s="79">
        <f t="shared" si="0"/>
        <v>44764</v>
      </c>
      <c r="AI7" s="79">
        <f t="shared" si="0"/>
        <v>44765</v>
      </c>
      <c r="AJ7" s="80">
        <f t="shared" si="0"/>
        <v>44766</v>
      </c>
      <c r="AK7" s="78">
        <f>AJ7+1</f>
        <v>44767</v>
      </c>
      <c r="AL7" s="79">
        <f>AK7+1</f>
        <v>44768</v>
      </c>
      <c r="AM7" s="79">
        <f t="shared" si="0"/>
        <v>44769</v>
      </c>
      <c r="AN7" s="79">
        <f t="shared" si="0"/>
        <v>44770</v>
      </c>
      <c r="AO7" s="79">
        <f t="shared" si="0"/>
        <v>44771</v>
      </c>
      <c r="AP7" s="79">
        <f t="shared" si="0"/>
        <v>44772</v>
      </c>
      <c r="AQ7" s="80">
        <f t="shared" si="0"/>
        <v>44773</v>
      </c>
      <c r="AR7" s="78">
        <f>AQ7+1</f>
        <v>44774</v>
      </c>
      <c r="AS7" s="79">
        <f>AR7+1</f>
        <v>44775</v>
      </c>
      <c r="AT7" s="79">
        <f t="shared" si="0"/>
        <v>44776</v>
      </c>
      <c r="AU7" s="79">
        <f t="shared" si="0"/>
        <v>44777</v>
      </c>
      <c r="AV7" s="79">
        <f t="shared" si="0"/>
        <v>44778</v>
      </c>
      <c r="AW7" s="79">
        <f t="shared" si="0"/>
        <v>44779</v>
      </c>
      <c r="AX7" s="80">
        <f t="shared" si="0"/>
        <v>44780</v>
      </c>
      <c r="AY7" s="78">
        <f>AX7+1</f>
        <v>44781</v>
      </c>
      <c r="AZ7" s="79">
        <f>AY7+1</f>
        <v>44782</v>
      </c>
      <c r="BA7" s="79">
        <f t="shared" ref="BA7:BE7" si="1">AZ7+1</f>
        <v>44783</v>
      </c>
      <c r="BB7" s="79">
        <f t="shared" si="1"/>
        <v>44784</v>
      </c>
      <c r="BC7" s="79">
        <f t="shared" si="1"/>
        <v>44785</v>
      </c>
      <c r="BD7" s="79">
        <f t="shared" si="1"/>
        <v>44786</v>
      </c>
      <c r="BE7" s="80">
        <f t="shared" si="1"/>
        <v>44787</v>
      </c>
      <c r="BF7" s="78">
        <f>BE7+1</f>
        <v>44788</v>
      </c>
      <c r="BG7" s="79">
        <f>BF7+1</f>
        <v>44789</v>
      </c>
      <c r="BH7" s="79">
        <f t="shared" ref="BH7:BL7" si="2">BG7+1</f>
        <v>44790</v>
      </c>
      <c r="BI7" s="79">
        <f t="shared" si="2"/>
        <v>44791</v>
      </c>
      <c r="BJ7" s="79">
        <f t="shared" si="2"/>
        <v>44792</v>
      </c>
      <c r="BK7" s="79">
        <f t="shared" si="2"/>
        <v>44793</v>
      </c>
      <c r="BL7" s="80">
        <f t="shared" si="2"/>
        <v>44794</v>
      </c>
    </row>
    <row r="8" spans="1:64" ht="42.75" customHeight="1" thickBot="1" x14ac:dyDescent="0.3">
      <c r="A8" s="8"/>
      <c r="B8" s="70" t="s">
        <v>22</v>
      </c>
      <c r="C8" s="71" t="s">
        <v>6</v>
      </c>
      <c r="D8" s="72" t="s">
        <v>19</v>
      </c>
      <c r="E8" s="72" t="s">
        <v>20</v>
      </c>
      <c r="F8" s="72" t="s">
        <v>21</v>
      </c>
      <c r="G8" s="5"/>
      <c r="H8" s="5" t="s">
        <v>7</v>
      </c>
      <c r="I8" s="74" t="str">
        <f t="shared" ref="I8" si="3">LEFT(TEXT(I7,"ddd"),1)</f>
        <v>M</v>
      </c>
      <c r="J8" s="74" t="str">
        <f t="shared" ref="J8:AR8" si="4">LEFT(TEXT(J7,"ddd"),1)</f>
        <v>T</v>
      </c>
      <c r="K8" s="74" t="str">
        <f t="shared" si="4"/>
        <v>W</v>
      </c>
      <c r="L8" s="74" t="str">
        <f t="shared" si="4"/>
        <v>T</v>
      </c>
      <c r="M8" s="74" t="str">
        <f t="shared" si="4"/>
        <v>F</v>
      </c>
      <c r="N8" s="74" t="str">
        <f t="shared" si="4"/>
        <v>S</v>
      </c>
      <c r="O8" s="74" t="str">
        <f t="shared" si="4"/>
        <v>S</v>
      </c>
      <c r="P8" s="74" t="str">
        <f t="shared" si="4"/>
        <v>M</v>
      </c>
      <c r="Q8" s="74" t="str">
        <f t="shared" si="4"/>
        <v>T</v>
      </c>
      <c r="R8" s="74" t="str">
        <f t="shared" si="4"/>
        <v>W</v>
      </c>
      <c r="S8" s="74" t="str">
        <f t="shared" si="4"/>
        <v>T</v>
      </c>
      <c r="T8" s="74" t="str">
        <f t="shared" si="4"/>
        <v>F</v>
      </c>
      <c r="U8" s="74" t="str">
        <f t="shared" si="4"/>
        <v>S</v>
      </c>
      <c r="V8" s="74" t="str">
        <f t="shared" si="4"/>
        <v>S</v>
      </c>
      <c r="W8" s="74" t="str">
        <f t="shared" si="4"/>
        <v>M</v>
      </c>
      <c r="X8" s="74" t="str">
        <f t="shared" si="4"/>
        <v>T</v>
      </c>
      <c r="Y8" s="74" t="str">
        <f t="shared" si="4"/>
        <v>W</v>
      </c>
      <c r="Z8" s="74" t="str">
        <f t="shared" si="4"/>
        <v>T</v>
      </c>
      <c r="AA8" s="74" t="str">
        <f t="shared" si="4"/>
        <v>F</v>
      </c>
      <c r="AB8" s="74" t="str">
        <f t="shared" si="4"/>
        <v>S</v>
      </c>
      <c r="AC8" s="74" t="str">
        <f t="shared" si="4"/>
        <v>S</v>
      </c>
      <c r="AD8" s="74" t="str">
        <f t="shared" si="4"/>
        <v>M</v>
      </c>
      <c r="AE8" s="74" t="str">
        <f t="shared" si="4"/>
        <v>T</v>
      </c>
      <c r="AF8" s="74" t="str">
        <f t="shared" si="4"/>
        <v>W</v>
      </c>
      <c r="AG8" s="74" t="str">
        <f t="shared" si="4"/>
        <v>T</v>
      </c>
      <c r="AH8" s="74" t="str">
        <f t="shared" si="4"/>
        <v>F</v>
      </c>
      <c r="AI8" s="74" t="str">
        <f t="shared" si="4"/>
        <v>S</v>
      </c>
      <c r="AJ8" s="74" t="str">
        <f t="shared" si="4"/>
        <v>S</v>
      </c>
      <c r="AK8" s="74" t="str">
        <f t="shared" si="4"/>
        <v>M</v>
      </c>
      <c r="AL8" s="74" t="str">
        <f t="shared" si="4"/>
        <v>T</v>
      </c>
      <c r="AM8" s="74" t="str">
        <f t="shared" si="4"/>
        <v>W</v>
      </c>
      <c r="AN8" s="74" t="str">
        <f t="shared" si="4"/>
        <v>T</v>
      </c>
      <c r="AO8" s="74" t="str">
        <f t="shared" si="4"/>
        <v>F</v>
      </c>
      <c r="AP8" s="74" t="str">
        <f t="shared" si="4"/>
        <v>S</v>
      </c>
      <c r="AQ8" s="74" t="str">
        <f t="shared" si="4"/>
        <v>S</v>
      </c>
      <c r="AR8" s="74" t="str">
        <f t="shared" si="4"/>
        <v>M</v>
      </c>
      <c r="AS8" s="74" t="str">
        <f t="shared" ref="AS8:BL8" si="5">LEFT(TEXT(AS7,"ddd"),1)</f>
        <v>T</v>
      </c>
      <c r="AT8" s="74" t="str">
        <f t="shared" si="5"/>
        <v>W</v>
      </c>
      <c r="AU8" s="74" t="str">
        <f t="shared" si="5"/>
        <v>T</v>
      </c>
      <c r="AV8" s="74" t="str">
        <f t="shared" si="5"/>
        <v>F</v>
      </c>
      <c r="AW8" s="74" t="str">
        <f t="shared" si="5"/>
        <v>S</v>
      </c>
      <c r="AX8" s="74" t="str">
        <f t="shared" si="5"/>
        <v>S</v>
      </c>
      <c r="AY8" s="74" t="str">
        <f t="shared" si="5"/>
        <v>M</v>
      </c>
      <c r="AZ8" s="74" t="str">
        <f t="shared" si="5"/>
        <v>T</v>
      </c>
      <c r="BA8" s="74" t="str">
        <f t="shared" si="5"/>
        <v>W</v>
      </c>
      <c r="BB8" s="74" t="str">
        <f t="shared" si="5"/>
        <v>T</v>
      </c>
      <c r="BC8" s="74" t="str">
        <f t="shared" si="5"/>
        <v>F</v>
      </c>
      <c r="BD8" s="74" t="str">
        <f t="shared" si="5"/>
        <v>S</v>
      </c>
      <c r="BE8" s="74" t="str">
        <f t="shared" si="5"/>
        <v>S</v>
      </c>
      <c r="BF8" s="74" t="str">
        <f t="shared" si="5"/>
        <v>M</v>
      </c>
      <c r="BG8" s="74" t="str">
        <f t="shared" si="5"/>
        <v>T</v>
      </c>
      <c r="BH8" s="74" t="str">
        <f t="shared" si="5"/>
        <v>W</v>
      </c>
      <c r="BI8" s="74" t="str">
        <f t="shared" si="5"/>
        <v>T</v>
      </c>
      <c r="BJ8" s="74" t="str">
        <f t="shared" si="5"/>
        <v>F</v>
      </c>
      <c r="BK8" s="74" t="str">
        <f t="shared" si="5"/>
        <v>S</v>
      </c>
      <c r="BL8" s="74" t="str">
        <f t="shared" si="5"/>
        <v>S</v>
      </c>
    </row>
    <row r="9" spans="1:64" s="1" customFormat="1" ht="21.75" thickBot="1" x14ac:dyDescent="0.3">
      <c r="A9" s="8"/>
      <c r="B9" s="40"/>
      <c r="C9" s="9"/>
      <c r="D9" s="10"/>
      <c r="E9" s="32"/>
      <c r="F9" s="33"/>
      <c r="G9" s="13"/>
      <c r="H9" s="75" t="str">
        <f t="shared" ref="H9:H40" si="6">IF(OR(ISBLANK(task_start),ISBLANK(task_end)),"",task_end-task_start+1)</f>
        <v/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</row>
    <row r="10" spans="1:64" s="1" customFormat="1" ht="21.75" thickBot="1" x14ac:dyDescent="0.3">
      <c r="A10" s="8"/>
      <c r="B10" s="68" t="s">
        <v>15</v>
      </c>
      <c r="C10" s="14"/>
      <c r="D10" s="15"/>
      <c r="E10" s="34"/>
      <c r="F10" s="35"/>
      <c r="G10" s="13"/>
      <c r="H10" s="75" t="str">
        <f t="shared" si="6"/>
        <v/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</row>
    <row r="11" spans="1:64" s="1" customFormat="1" ht="60.75" thickBot="1" x14ac:dyDescent="0.3">
      <c r="A11" s="8"/>
      <c r="B11" s="41" t="s">
        <v>16</v>
      </c>
      <c r="C11" s="42" t="s">
        <v>17</v>
      </c>
      <c r="D11" s="16">
        <v>0.7</v>
      </c>
      <c r="E11" s="36">
        <v>44743</v>
      </c>
      <c r="F11" s="37">
        <v>44745</v>
      </c>
      <c r="G11" s="13"/>
      <c r="H11" s="75">
        <f t="shared" si="6"/>
        <v>3</v>
      </c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</row>
    <row r="12" spans="1:64" s="1" customFormat="1" ht="60.75" thickBot="1" x14ac:dyDescent="0.3">
      <c r="A12" s="8"/>
      <c r="B12" s="42" t="s">
        <v>24</v>
      </c>
      <c r="C12" s="42" t="s">
        <v>17</v>
      </c>
      <c r="D12" s="16">
        <v>0.6</v>
      </c>
      <c r="E12" s="36">
        <v>44746</v>
      </c>
      <c r="F12" s="37">
        <v>44751</v>
      </c>
      <c r="G12" s="13"/>
      <c r="H12" s="75">
        <f t="shared" si="6"/>
        <v>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7"/>
      <c r="V12" s="77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</row>
    <row r="13" spans="1:64" s="1" customFormat="1" ht="60.75" thickBot="1" x14ac:dyDescent="0.3">
      <c r="A13" s="8"/>
      <c r="B13" s="42" t="s">
        <v>18</v>
      </c>
      <c r="C13" s="42" t="s">
        <v>17</v>
      </c>
      <c r="D13" s="16">
        <v>0.5</v>
      </c>
      <c r="E13" s="36">
        <v>44752</v>
      </c>
      <c r="F13" s="37">
        <v>44757</v>
      </c>
      <c r="G13" s="13"/>
      <c r="H13" s="75">
        <f t="shared" si="6"/>
        <v>6</v>
      </c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</row>
    <row r="14" spans="1:64" s="1" customFormat="1" ht="60.75" thickBot="1" x14ac:dyDescent="0.3">
      <c r="A14" s="8"/>
      <c r="B14" s="42" t="s">
        <v>23</v>
      </c>
      <c r="C14" s="54"/>
      <c r="D14" s="16">
        <v>0.25</v>
      </c>
      <c r="E14" s="36">
        <v>44752</v>
      </c>
      <c r="F14" s="37">
        <v>44763</v>
      </c>
      <c r="G14" s="13"/>
      <c r="H14" s="75">
        <f t="shared" si="6"/>
        <v>12</v>
      </c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7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</row>
    <row r="15" spans="1:64" s="1" customFormat="1" ht="21.75" thickBot="1" x14ac:dyDescent="0.3">
      <c r="A15" s="8"/>
      <c r="B15" s="69" t="s">
        <v>25</v>
      </c>
      <c r="C15" s="62"/>
      <c r="D15" s="63"/>
      <c r="E15" s="63"/>
      <c r="F15" s="63"/>
      <c r="G15" s="13"/>
      <c r="H15" s="75" t="str">
        <f t="shared" si="6"/>
        <v/>
      </c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</row>
    <row r="16" spans="1:64" s="1" customFormat="1" ht="21.75" thickBot="1" x14ac:dyDescent="0.3">
      <c r="A16" s="8"/>
      <c r="B16" s="64" t="s">
        <v>3</v>
      </c>
      <c r="C16" s="65"/>
      <c r="D16" s="63">
        <v>0.5</v>
      </c>
      <c r="E16" s="66">
        <v>44761</v>
      </c>
      <c r="F16" s="67">
        <v>44781</v>
      </c>
      <c r="G16" s="13"/>
      <c r="H16" s="75">
        <f t="shared" si="6"/>
        <v>21</v>
      </c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</row>
    <row r="17" spans="1:64" s="1" customFormat="1" ht="21.75" thickBot="1" x14ac:dyDescent="0.3">
      <c r="A17" s="8"/>
      <c r="B17" s="64" t="s">
        <v>4</v>
      </c>
      <c r="C17" s="65"/>
      <c r="D17" s="63">
        <v>0.5</v>
      </c>
      <c r="E17" s="66">
        <v>44764</v>
      </c>
      <c r="F17" s="67">
        <v>44787</v>
      </c>
      <c r="G17" s="13"/>
      <c r="H17" s="75">
        <f t="shared" si="6"/>
        <v>24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7"/>
      <c r="V17" s="77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</row>
    <row r="18" spans="1:64" s="1" customFormat="1" ht="21.75" thickBot="1" x14ac:dyDescent="0.3">
      <c r="A18" s="8"/>
      <c r="B18" s="64" t="s">
        <v>0</v>
      </c>
      <c r="C18" s="65"/>
      <c r="D18" s="63"/>
      <c r="E18" s="66">
        <v>44767</v>
      </c>
      <c r="F18" s="67">
        <v>44793</v>
      </c>
      <c r="G18" s="13"/>
      <c r="H18" s="75">
        <f t="shared" si="6"/>
        <v>27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</row>
    <row r="19" spans="1:64" s="1" customFormat="1" ht="21.75" thickBot="1" x14ac:dyDescent="0.3">
      <c r="A19" s="8"/>
      <c r="B19" s="64" t="s">
        <v>1</v>
      </c>
      <c r="C19" s="65"/>
      <c r="D19" s="63"/>
      <c r="E19" s="66">
        <v>44770</v>
      </c>
      <c r="F19" s="67">
        <v>44799</v>
      </c>
      <c r="G19" s="13"/>
      <c r="H19" s="75">
        <f t="shared" si="6"/>
        <v>30</v>
      </c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</row>
    <row r="20" spans="1:64" s="1" customFormat="1" ht="21.75" thickBot="1" x14ac:dyDescent="0.3">
      <c r="A20" s="8"/>
      <c r="B20" s="64" t="s">
        <v>2</v>
      </c>
      <c r="C20" s="65"/>
      <c r="D20" s="63"/>
      <c r="E20" s="66">
        <v>44773</v>
      </c>
      <c r="F20" s="67">
        <v>44805</v>
      </c>
      <c r="G20" s="13"/>
      <c r="H20" s="75">
        <f t="shared" si="6"/>
        <v>33</v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</row>
    <row r="21" spans="1:64" s="1" customFormat="1" ht="21.75" thickBot="1" x14ac:dyDescent="0.3">
      <c r="A21" s="8"/>
      <c r="B21" s="43" t="s">
        <v>9</v>
      </c>
      <c r="C21" s="55"/>
      <c r="D21" s="17"/>
      <c r="E21" s="17"/>
      <c r="F21" s="17"/>
      <c r="G21" s="13"/>
      <c r="H21" s="75" t="str">
        <f t="shared" si="6"/>
        <v/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</row>
    <row r="22" spans="1:64" s="1" customFormat="1" ht="21.75" thickBot="1" x14ac:dyDescent="0.3">
      <c r="A22" s="8"/>
      <c r="B22" s="44" t="s">
        <v>3</v>
      </c>
      <c r="C22" s="56"/>
      <c r="D22" s="18"/>
      <c r="E22" s="36">
        <v>44779</v>
      </c>
      <c r="F22" s="37">
        <v>44817</v>
      </c>
      <c r="G22" s="13"/>
      <c r="H22" s="75">
        <f t="shared" si="6"/>
        <v>39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</row>
    <row r="23" spans="1:64" s="1" customFormat="1" ht="21.75" thickBot="1" x14ac:dyDescent="0.3">
      <c r="A23" s="8"/>
      <c r="B23" s="44" t="s">
        <v>4</v>
      </c>
      <c r="C23" s="56"/>
      <c r="D23" s="18"/>
      <c r="E23" s="36">
        <v>44782</v>
      </c>
      <c r="F23" s="37">
        <v>44823</v>
      </c>
      <c r="G23" s="13"/>
      <c r="H23" s="75">
        <f t="shared" si="6"/>
        <v>42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</row>
    <row r="24" spans="1:64" s="1" customFormat="1" ht="21.75" thickBot="1" x14ac:dyDescent="0.3">
      <c r="A24" s="8"/>
      <c r="B24" s="44" t="s">
        <v>0</v>
      </c>
      <c r="C24" s="56"/>
      <c r="D24" s="18"/>
      <c r="E24" s="36">
        <v>44785</v>
      </c>
      <c r="F24" s="37">
        <v>44829</v>
      </c>
      <c r="G24" s="13"/>
      <c r="H24" s="75">
        <f t="shared" si="6"/>
        <v>45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64" s="1" customFormat="1" ht="21.75" thickBot="1" x14ac:dyDescent="0.3">
      <c r="A25" s="8"/>
      <c r="B25" s="44" t="s">
        <v>1</v>
      </c>
      <c r="C25" s="56"/>
      <c r="D25" s="18"/>
      <c r="E25" s="36">
        <v>44788</v>
      </c>
      <c r="F25" s="37">
        <v>44835</v>
      </c>
      <c r="G25" s="13"/>
      <c r="H25" s="75">
        <f t="shared" si="6"/>
        <v>48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64" s="1" customFormat="1" ht="21.75" thickBot="1" x14ac:dyDescent="0.3">
      <c r="A26" s="8"/>
      <c r="B26" s="44" t="s">
        <v>2</v>
      </c>
      <c r="C26" s="56"/>
      <c r="D26" s="18"/>
      <c r="E26" s="36">
        <v>44791</v>
      </c>
      <c r="F26" s="37">
        <v>44841</v>
      </c>
      <c r="G26" s="13"/>
      <c r="H26" s="75">
        <f t="shared" si="6"/>
        <v>51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64" s="1" customFormat="1" ht="21.75" thickBot="1" x14ac:dyDescent="0.3">
      <c r="A27" s="8"/>
      <c r="B27" s="45" t="s">
        <v>10</v>
      </c>
      <c r="C27" s="57"/>
      <c r="D27" s="19"/>
      <c r="E27" s="19"/>
      <c r="F27" s="19"/>
      <c r="G27" s="13"/>
      <c r="H27" s="75" t="str">
        <f t="shared" si="6"/>
        <v/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</row>
    <row r="28" spans="1:64" s="1" customFormat="1" ht="21.75" thickBot="1" x14ac:dyDescent="0.3">
      <c r="A28" s="8"/>
      <c r="B28" s="46" t="s">
        <v>3</v>
      </c>
      <c r="C28" s="58"/>
      <c r="D28" s="20"/>
      <c r="E28" s="36">
        <v>44797</v>
      </c>
      <c r="F28" s="37">
        <v>44853</v>
      </c>
      <c r="G28" s="13"/>
      <c r="H28" s="75">
        <f t="shared" si="6"/>
        <v>57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64" s="1" customFormat="1" ht="21.75" thickBot="1" x14ac:dyDescent="0.3">
      <c r="A29" s="8"/>
      <c r="B29" s="46" t="s">
        <v>4</v>
      </c>
      <c r="C29" s="58"/>
      <c r="D29" s="20"/>
      <c r="E29" s="36">
        <v>44800</v>
      </c>
      <c r="F29" s="37">
        <v>44859</v>
      </c>
      <c r="G29" s="13"/>
      <c r="H29" s="75">
        <f t="shared" si="6"/>
        <v>60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</row>
    <row r="30" spans="1:64" s="1" customFormat="1" ht="21.75" thickBot="1" x14ac:dyDescent="0.3">
      <c r="A30" s="8"/>
      <c r="B30" s="46" t="s">
        <v>0</v>
      </c>
      <c r="C30" s="58"/>
      <c r="D30" s="20"/>
      <c r="E30" s="36">
        <v>44803</v>
      </c>
      <c r="F30" s="37">
        <v>44865</v>
      </c>
      <c r="G30" s="13"/>
      <c r="H30" s="75">
        <f t="shared" si="6"/>
        <v>63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</row>
    <row r="31" spans="1:64" s="1" customFormat="1" ht="21.75" thickBot="1" x14ac:dyDescent="0.3">
      <c r="A31" s="8"/>
      <c r="B31" s="46" t="s">
        <v>1</v>
      </c>
      <c r="C31" s="58"/>
      <c r="D31" s="20"/>
      <c r="E31" s="36">
        <v>44806</v>
      </c>
      <c r="F31" s="37">
        <v>44871</v>
      </c>
      <c r="G31" s="13"/>
      <c r="H31" s="75">
        <f t="shared" si="6"/>
        <v>66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</row>
    <row r="32" spans="1:64" s="1" customFormat="1" ht="21.75" thickBot="1" x14ac:dyDescent="0.3">
      <c r="A32" s="8"/>
      <c r="B32" s="46" t="s">
        <v>2</v>
      </c>
      <c r="C32" s="58"/>
      <c r="D32" s="20"/>
      <c r="E32" s="36">
        <v>44809</v>
      </c>
      <c r="F32" s="37">
        <v>44877</v>
      </c>
      <c r="G32" s="13"/>
      <c r="H32" s="75">
        <f t="shared" si="6"/>
        <v>69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</row>
    <row r="33" spans="1:64" s="1" customFormat="1" ht="21.75" thickBot="1" x14ac:dyDescent="0.3">
      <c r="A33" s="8"/>
      <c r="B33" s="47" t="s">
        <v>11</v>
      </c>
      <c r="C33" s="59"/>
      <c r="D33" s="21"/>
      <c r="E33" s="21"/>
      <c r="F33" s="21"/>
      <c r="G33" s="13"/>
      <c r="H33" s="75" t="str">
        <f t="shared" si="6"/>
        <v/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64" s="1" customFormat="1" ht="21.75" thickBot="1" x14ac:dyDescent="0.3">
      <c r="A34" s="8"/>
      <c r="B34" s="48" t="s">
        <v>3</v>
      </c>
      <c r="C34" s="60"/>
      <c r="D34" s="22"/>
      <c r="E34" s="36">
        <v>44815</v>
      </c>
      <c r="F34" s="37">
        <v>44889</v>
      </c>
      <c r="G34" s="13"/>
      <c r="H34" s="75">
        <f t="shared" si="6"/>
        <v>75</v>
      </c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64" s="1" customFormat="1" ht="21.75" thickBot="1" x14ac:dyDescent="0.3">
      <c r="A35" s="8"/>
      <c r="B35" s="48" t="s">
        <v>4</v>
      </c>
      <c r="C35" s="60"/>
      <c r="D35" s="22"/>
      <c r="E35" s="36">
        <v>44818</v>
      </c>
      <c r="F35" s="37">
        <v>44895</v>
      </c>
      <c r="G35" s="13"/>
      <c r="H35" s="75">
        <f t="shared" si="6"/>
        <v>78</v>
      </c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64" s="1" customFormat="1" ht="21.75" thickBot="1" x14ac:dyDescent="0.3">
      <c r="A36" s="8"/>
      <c r="B36" s="48" t="s">
        <v>0</v>
      </c>
      <c r="C36" s="60"/>
      <c r="D36" s="22"/>
      <c r="E36" s="36">
        <v>44821</v>
      </c>
      <c r="F36" s="37">
        <v>44901</v>
      </c>
      <c r="G36" s="13"/>
      <c r="H36" s="75">
        <f t="shared" si="6"/>
        <v>81</v>
      </c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64" s="1" customFormat="1" ht="21.75" thickBot="1" x14ac:dyDescent="0.3">
      <c r="A37" s="8"/>
      <c r="B37" s="48" t="s">
        <v>1</v>
      </c>
      <c r="C37" s="60"/>
      <c r="D37" s="22"/>
      <c r="E37" s="36">
        <v>44824</v>
      </c>
      <c r="F37" s="37">
        <v>44907</v>
      </c>
      <c r="G37" s="13"/>
      <c r="H37" s="75">
        <f t="shared" si="6"/>
        <v>84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64" s="1" customFormat="1" ht="21.75" thickBot="1" x14ac:dyDescent="0.3">
      <c r="A38" s="8"/>
      <c r="B38" s="48" t="s">
        <v>2</v>
      </c>
      <c r="C38" s="60"/>
      <c r="D38" s="22"/>
      <c r="E38" s="36">
        <v>44827</v>
      </c>
      <c r="F38" s="37">
        <v>44913</v>
      </c>
      <c r="G38" s="13"/>
      <c r="H38" s="75">
        <f t="shared" si="6"/>
        <v>87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</row>
    <row r="39" spans="1:64" s="1" customFormat="1" ht="21.75" thickBot="1" x14ac:dyDescent="0.3">
      <c r="A39" s="8"/>
      <c r="B39" s="40"/>
      <c r="C39" s="53"/>
      <c r="D39" s="10"/>
      <c r="E39" s="11"/>
      <c r="F39" s="12"/>
      <c r="G39" s="13"/>
      <c r="H39" s="75" t="str">
        <f t="shared" si="6"/>
        <v/>
      </c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</row>
    <row r="40" spans="1:64" s="1" customFormat="1" ht="21.75" thickBot="1" x14ac:dyDescent="0.3">
      <c r="A40" s="8"/>
      <c r="B40" s="40"/>
      <c r="C40" s="53"/>
      <c r="D40" s="10"/>
      <c r="E40" s="11"/>
      <c r="F40" s="12"/>
      <c r="G40" s="13"/>
      <c r="H40" s="75" t="str">
        <f t="shared" si="6"/>
        <v/>
      </c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</row>
    <row r="41" spans="1:64" s="1" customFormat="1" ht="21.75" thickBot="1" x14ac:dyDescent="0.3">
      <c r="A41" s="8"/>
      <c r="B41" s="40"/>
      <c r="C41" s="53"/>
      <c r="D41" s="10"/>
      <c r="E41" s="11"/>
      <c r="F41" s="12"/>
      <c r="G41" s="13"/>
      <c r="H41" s="13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</row>
    <row r="42" spans="1:64" s="1" customFormat="1" ht="21.75" thickBot="1" x14ac:dyDescent="0.3">
      <c r="A42" s="8"/>
      <c r="B42" s="49"/>
      <c r="C42" s="61"/>
      <c r="D42" s="23"/>
      <c r="E42" s="24"/>
      <c r="F42" s="25"/>
      <c r="G42" s="26"/>
      <c r="H42" s="26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x14ac:dyDescent="0.25">
      <c r="A43" s="3"/>
      <c r="G43" s="3"/>
    </row>
    <row r="44" spans="1:64" x14ac:dyDescent="0.25">
      <c r="B44" s="50"/>
      <c r="C44" s="6"/>
      <c r="F44" s="29"/>
    </row>
    <row r="45" spans="1:64" x14ac:dyDescent="0.25">
      <c r="B45" s="51"/>
      <c r="C45" s="7"/>
    </row>
    <row r="46" spans="1:64" x14ac:dyDescent="0.25">
      <c r="B46" s="52"/>
    </row>
  </sheetData>
  <mergeCells count="13">
    <mergeCell ref="AK6:AQ6"/>
    <mergeCell ref="AR6:AX6"/>
    <mergeCell ref="AY6:BE6"/>
    <mergeCell ref="BF6:BL6"/>
    <mergeCell ref="A1:BL1"/>
    <mergeCell ref="A3:BL3"/>
    <mergeCell ref="A2:BL2"/>
    <mergeCell ref="E4:F4"/>
    <mergeCell ref="I6:O6"/>
    <mergeCell ref="P6:V6"/>
    <mergeCell ref="W6:AC6"/>
    <mergeCell ref="AD6:AJ6"/>
    <mergeCell ref="E5:F5"/>
  </mergeCells>
  <conditionalFormatting sqref="D9:D42 E15:F15 E21:F21 E27:F27 E33:F3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{B0389232-4C98-4A03-AD0E-39F63BAD1F53}</x14:id>
        </ext>
      </extLst>
    </cfRule>
  </conditionalFormatting>
  <conditionalFormatting sqref="I9:BL42">
    <cfRule type="expression" dxfId="2" priority="25">
      <formula>AND(task_start&lt;=I$7,ROUNDDOWN((task_end-task_start+1)*task_progress,0)+task_start-1&gt;=I$7)</formula>
    </cfRule>
    <cfRule type="expression" dxfId="1" priority="26" stopIfTrue="1">
      <formula>AND(task_end&gt;=I$7,task_start&lt;I$7+1)</formula>
    </cfRule>
  </conditionalFormatting>
  <conditionalFormatting sqref="I7:BL42">
    <cfRule type="expression" dxfId="0" priority="27">
      <formula>AND(today&gt;=I$7,today&lt;I$7+1)</formula>
    </cfRule>
  </conditionalFormatting>
  <dataValidations count="1">
    <dataValidation type="whole" operator="greaterThanOrEqual" allowBlank="1" showInputMessage="1" promptTitle="Display Week" prompt="Changing this number will scroll the Gantt Chart view." sqref="E6" xr:uid="{00000000-0002-0000-0000-000000000000}">
      <formula1>1</formula1>
    </dataValidation>
  </dataValidations>
  <pageMargins left="0.35" right="0.35" top="0.35" bottom="0.5" header="0.3" footer="0.3"/>
  <pageSetup scale="62" fitToHeight="0" orientation="landscape" r:id="rId1"/>
  <headerFooter scaleWithDoc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389232-4C98-4A03-AD0E-39F63BAD1F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D9:D42 E15:F15 E21:F21 E27:F27 E33:F33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ProjectSchedule!Print_Area</vt:lpstr>
      <vt:lpstr>ProjectSchedule!Print_Titles</vt:lpstr>
      <vt:lpstr>ProjectSchedule!task_end</vt:lpstr>
      <vt:lpstr>ProjectSchedule!task_progress</vt:lpstr>
      <vt:lpstr>ProjectSchedule!task_start</vt:lpstr>
      <vt:lpstr>ProjectSchedule!today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Gantt Chart</dc:title>
  <dc:creator>Vertex42.com</dc:creator>
  <dc:description>© 2018-2019 Vertex42 LLC. All Rights Reserved.</dc:description>
  <cp:lastModifiedBy>farhan tahmid</cp:lastModifiedBy>
  <cp:lastPrinted>2019-04-24T14:39:40Z</cp:lastPrinted>
  <dcterms:created xsi:type="dcterms:W3CDTF">2017-01-09T18:01:51Z</dcterms:created>
  <dcterms:modified xsi:type="dcterms:W3CDTF">2022-06-29T05:58:49Z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https://www.vertex42.com/</vt:lpwstr>
  </property>
  <property fmtid="{D5CDD505-2E9C-101B-9397-08002B2CF9AE}" pid="3" name="Copyright">
    <vt:lpwstr>© 2019 Vertex42 LLC</vt:lpwstr>
  </property>
  <property fmtid="{D5CDD505-2E9C-101B-9397-08002B2CF9AE}" pid="4" name="Version">
    <vt:lpwstr>1.0.1</vt:lpwstr>
  </property>
</Properties>
</file>